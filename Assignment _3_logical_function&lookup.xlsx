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<sst xmlns="http://schemas.openxmlformats.org/spreadsheetml/2006/main" count="113" uniqueCount="94">
  <si>
    <t>Student Name</t>
  </si>
  <si>
    <t>Marks</t>
  </si>
  <si>
    <t>Result</t>
  </si>
  <si>
    <t>Oue:1</t>
  </si>
  <si>
    <t>Write a formula to check if the marks in cell B2 are greater</t>
  </si>
  <si>
    <t>Riya</t>
  </si>
  <si>
    <t>than or equal to 40. If yes, return , "Pass" otherwise "Fail"</t>
  </si>
  <si>
    <t>Siya</t>
  </si>
  <si>
    <t>Raju</t>
  </si>
  <si>
    <t>Ans: 1</t>
  </si>
  <si>
    <t>Formula: IF(Marks&gt;=40,"Pass","Fail")</t>
  </si>
  <si>
    <t>Rahul</t>
  </si>
  <si>
    <t>Shows each student's marks and whether they</t>
  </si>
  <si>
    <t>Ram</t>
  </si>
  <si>
    <t>passed or failed.</t>
  </si>
  <si>
    <t>Employee</t>
  </si>
  <si>
    <t>Sales</t>
  </si>
  <si>
    <t>Attendance</t>
  </si>
  <si>
    <t>Bonus</t>
  </si>
  <si>
    <t>Oue:2</t>
  </si>
  <si>
    <t>A company gives a bonus if sales are above 40,000 and attendance is</t>
  </si>
  <si>
    <t>Arjun</t>
  </si>
  <si>
    <t>greater than or equal to 90%. Write a formula to calculate whether</t>
  </si>
  <si>
    <t>Simran</t>
  </si>
  <si>
    <t>the employee will get a bonus or not .</t>
  </si>
  <si>
    <t>Rohit</t>
  </si>
  <si>
    <t>Anjali</t>
  </si>
  <si>
    <t>Ans: 2</t>
  </si>
  <si>
    <t>Formula=IF(AND(B10&gt;40000,C10&gt;=90),"Bonus","No Bonus")</t>
  </si>
  <si>
    <t>Grade</t>
  </si>
  <si>
    <t>Oue:3</t>
  </si>
  <si>
    <t>Write a nested IF formula:</t>
  </si>
  <si>
    <t>Raj</t>
  </si>
  <si>
    <t>If marks in are B2≥ 90 → "A", ≥ 75 →"B", ≥ 50 →"C", otherwise "Fail"</t>
  </si>
  <si>
    <t>Neha</t>
  </si>
  <si>
    <t>Vivek</t>
  </si>
  <si>
    <t>Ans: 3</t>
  </si>
  <si>
    <t>Formula: =IF(Marks&gt;=90,"A",IF(Marks&gt;=75,"B",IF(Marks&gt;=50,"C","Fail")))</t>
  </si>
  <si>
    <t>Rani</t>
  </si>
  <si>
    <t>Sneha</t>
  </si>
  <si>
    <t>EmpID</t>
  </si>
  <si>
    <t>Name</t>
  </si>
  <si>
    <t>Department</t>
  </si>
  <si>
    <t>Oue:4</t>
  </si>
  <si>
    <t>Find the Department of Employee ID = E103.</t>
  </si>
  <si>
    <t>E101</t>
  </si>
  <si>
    <t>IT</t>
  </si>
  <si>
    <t>Also explain which LOOKUP function is used and why?</t>
  </si>
  <si>
    <t>E102</t>
  </si>
  <si>
    <t>HR</t>
  </si>
  <si>
    <t>Ans: 4</t>
  </si>
  <si>
    <t>E103</t>
  </si>
  <si>
    <t>Roshni</t>
  </si>
  <si>
    <t>Finance</t>
  </si>
  <si>
    <t>Formula: =VLOOKUP(A27,A25:C28,3,FALSE)</t>
  </si>
  <si>
    <t>E104</t>
  </si>
  <si>
    <t>Sejal</t>
  </si>
  <si>
    <t>Sales Amount</t>
  </si>
  <si>
    <t>Commission Rate</t>
  </si>
  <si>
    <t>Oue:5</t>
  </si>
  <si>
    <t>A company has set the following commission structure for its sales team:</t>
  </si>
  <si>
    <t>If a salesperson achieves sales of ₹45,000, use the VLOOKUP function</t>
  </si>
  <si>
    <t>to determine the commission rate applicable.</t>
  </si>
  <si>
    <t>Ans: 5</t>
  </si>
  <si>
    <t>Formula: =VLOOKUP(A34,A32:B35,2,FALSE)</t>
  </si>
  <si>
    <t>Employee Name</t>
  </si>
  <si>
    <t>Leaves Taken</t>
  </si>
  <si>
    <t>Leaves Allowed</t>
  </si>
  <si>
    <t>Leave Status</t>
  </si>
  <si>
    <t>Oue:6</t>
  </si>
  <si>
    <t>The HR department maintains the following leave records of employees:onus or not</t>
  </si>
  <si>
    <t>Alex</t>
  </si>
  <si>
    <t>Write an IF function to check whether an employee has Exceeded their allowed leave</t>
  </si>
  <si>
    <t>Bob</t>
  </si>
  <si>
    <t>balance. If Leaves Taken &gt; Allowed Leaves, display "Exceeded".</t>
  </si>
  <si>
    <t>Anna</t>
  </si>
  <si>
    <t>Otherwise, display "OK".</t>
  </si>
  <si>
    <t>Ans: 6</t>
  </si>
  <si>
    <t>Formula: =IF(LeavesTaken&gt;LeavesAllowed,"Exceeded","OK")</t>
  </si>
  <si>
    <t>Salary</t>
  </si>
  <si>
    <t>Oue:7</t>
  </si>
  <si>
    <t>Find the salary of EmpID = E105 using INDEX-MATCH Function.</t>
  </si>
  <si>
    <t>Ans: 7</t>
  </si>
  <si>
    <t>E105</t>
  </si>
  <si>
    <t>Formula :=INDEX(B47:B50,MATCH(A48,A47:A50,0))</t>
  </si>
  <si>
    <t>E106</t>
  </si>
  <si>
    <t>Oue:8</t>
  </si>
  <si>
    <t>Use the XLOOKUP function to find the Department of the employee with</t>
  </si>
  <si>
    <t>Emp ID = E303</t>
  </si>
  <si>
    <t>E303</t>
  </si>
  <si>
    <t>Ans: 8</t>
  </si>
  <si>
    <t>E301</t>
  </si>
  <si>
    <t>Formula: =XLOOKUP(F56,A54:A57,B54:B57,"not available",0,1)</t>
  </si>
  <si>
    <t>Departent is 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</si>
</sst>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CD5B4"/>
        <bgColor rgb="FFFCD5B4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3" fontId="2" numFmtId="0" xfId="0" applyAlignment="1" applyFill="1" applyFont="1">
      <alignment readingOrder="0" shrinkToFit="0" vertical="bottom" wrapText="0"/>
    </xf>
    <xf borderId="0" fillId="3" fontId="2" numFmtId="0" xfId="0" applyAlignment="1" applyFont="1">
      <alignment shrinkToFit="0" vertical="bottom" wrapText="0"/>
    </xf>
    <xf borderId="1" fillId="2" fontId="2" numFmtId="0" xfId="0" applyAlignment="1" applyBorder="1" applyFon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2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2" numFmtId="0" xfId="0" applyAlignment="1" applyBorder="1" applyFont="1">
      <alignment horizontal="center" readingOrder="0" shrinkToFit="0" vertical="top" wrapText="0"/>
    </xf>
    <xf borderId="1" fillId="2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horizontal="center" shrinkToFit="0" vertical="bottom" wrapText="0"/>
    </xf>
    <xf borderId="0" fillId="2" fontId="1" numFmtId="0" xfId="0" applyAlignment="1" applyFont="1">
      <alignment readingOrder="0" shrinkToFit="0" vertical="bottom" wrapText="0"/>
    </xf>
    <xf borderId="1" fillId="2" fontId="2" numFmtId="9" xfId="0" applyAlignment="1" applyBorder="1" applyFont="1" applyNumberFormat="1">
      <alignment horizontal="center" readingOrder="0" shrinkToFit="0" vertical="bottom" wrapText="0"/>
    </xf>
    <xf borderId="0" fillId="2" fontId="1" numFmtId="9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2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3" t="s">
        <v>3</v>
      </c>
      <c r="F1" s="3" t="s">
        <v>4</v>
      </c>
      <c r="L1" s="4"/>
    </row>
    <row r="2">
      <c r="A2" s="5" t="s">
        <v>5</v>
      </c>
      <c r="B2" s="5">
        <v>45.0</v>
      </c>
      <c r="C2" s="6" t="str">
        <f t="shared" ref="C2:C6" si="1">IF(B2&gt;=40,"Pass","Fail")</f>
        <v>Pass</v>
      </c>
      <c r="D2" s="7"/>
      <c r="E2" s="8"/>
      <c r="F2" s="3" t="s">
        <v>6</v>
      </c>
      <c r="L2" s="4"/>
    </row>
    <row r="3">
      <c r="A3" s="5" t="s">
        <v>7</v>
      </c>
      <c r="B3" s="5">
        <v>72.0</v>
      </c>
      <c r="C3" s="6" t="str">
        <f t="shared" si="1"/>
        <v>Pass</v>
      </c>
      <c r="D3" s="7"/>
      <c r="E3" s="8"/>
      <c r="F3" s="8"/>
      <c r="G3" s="8"/>
      <c r="H3" s="8"/>
      <c r="I3" s="8"/>
      <c r="J3" s="8"/>
      <c r="K3" s="8"/>
      <c r="L3" s="8"/>
    </row>
    <row r="4">
      <c r="A4" s="5" t="s">
        <v>8</v>
      </c>
      <c r="B4" s="5">
        <v>55.0</v>
      </c>
      <c r="C4" s="6" t="str">
        <f t="shared" si="1"/>
        <v>Pass</v>
      </c>
      <c r="D4" s="7"/>
      <c r="E4" s="9" t="s">
        <v>9</v>
      </c>
      <c r="F4" s="9" t="s">
        <v>10</v>
      </c>
      <c r="J4" s="10"/>
      <c r="K4" s="10"/>
      <c r="L4" s="10"/>
    </row>
    <row r="5">
      <c r="A5" s="5" t="s">
        <v>11</v>
      </c>
      <c r="B5" s="5">
        <v>80.0</v>
      </c>
      <c r="C5" s="6" t="str">
        <f t="shared" si="1"/>
        <v>Pass</v>
      </c>
      <c r="D5" s="7"/>
      <c r="E5" s="8"/>
      <c r="F5" s="9" t="s">
        <v>12</v>
      </c>
      <c r="K5" s="10"/>
      <c r="L5" s="10"/>
    </row>
    <row r="6">
      <c r="A6" s="5" t="s">
        <v>13</v>
      </c>
      <c r="B6" s="5">
        <v>30.0</v>
      </c>
      <c r="C6" s="6" t="str">
        <f t="shared" si="1"/>
        <v>Fail</v>
      </c>
      <c r="D6" s="7"/>
      <c r="E6" s="8"/>
      <c r="F6" s="9" t="s">
        <v>14</v>
      </c>
      <c r="H6" s="10"/>
      <c r="I6" s="10"/>
      <c r="J6" s="10"/>
      <c r="K6" s="10"/>
      <c r="L6" s="10"/>
    </row>
    <row r="7">
      <c r="A7" s="8"/>
      <c r="B7" s="11"/>
      <c r="C7" s="11"/>
      <c r="D7" s="8"/>
      <c r="E7" s="8"/>
      <c r="F7" s="8"/>
      <c r="G7" s="8"/>
      <c r="H7" s="8"/>
      <c r="I7" s="8"/>
      <c r="J7" s="8"/>
      <c r="K7" s="8"/>
      <c r="L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>
      <c r="A9" s="6" t="s">
        <v>15</v>
      </c>
      <c r="B9" s="6" t="s">
        <v>16</v>
      </c>
      <c r="C9" s="6" t="s">
        <v>17</v>
      </c>
      <c r="D9" s="6" t="s">
        <v>18</v>
      </c>
      <c r="E9" s="3" t="s">
        <v>19</v>
      </c>
      <c r="F9" s="3" t="s">
        <v>20</v>
      </c>
    </row>
    <row r="10">
      <c r="A10" s="5" t="s">
        <v>21</v>
      </c>
      <c r="B10" s="5">
        <v>55000.0</v>
      </c>
      <c r="C10" s="12">
        <v>95.0</v>
      </c>
      <c r="D10" s="13" t="str">
        <f t="shared" ref="D10:D13" si="2">IF(AND(B10&gt;40000,C10&gt;=90),"Bonus","No Bonus")</f>
        <v>Bonus</v>
      </c>
      <c r="E10" s="8"/>
      <c r="F10" s="3" t="s">
        <v>22</v>
      </c>
    </row>
    <row r="11">
      <c r="A11" s="5" t="s">
        <v>23</v>
      </c>
      <c r="B11" s="5">
        <v>65000.0</v>
      </c>
      <c r="C11" s="12">
        <v>85.0</v>
      </c>
      <c r="D11" s="13" t="str">
        <f t="shared" si="2"/>
        <v>No Bonus</v>
      </c>
      <c r="E11" s="8"/>
      <c r="F11" s="3" t="s">
        <v>24</v>
      </c>
      <c r="J11" s="4"/>
      <c r="K11" s="4"/>
      <c r="L11" s="4"/>
    </row>
    <row r="12">
      <c r="A12" s="5" t="s">
        <v>25</v>
      </c>
      <c r="B12" s="5">
        <v>30000.0</v>
      </c>
      <c r="C12" s="12">
        <v>90.0</v>
      </c>
      <c r="D12" s="13" t="str">
        <f t="shared" si="2"/>
        <v>No Bonus</v>
      </c>
      <c r="E12" s="8"/>
      <c r="F12" s="8"/>
      <c r="G12" s="8"/>
      <c r="H12" s="8"/>
      <c r="I12" s="8"/>
      <c r="J12" s="8"/>
      <c r="K12" s="8"/>
      <c r="L12" s="8"/>
    </row>
    <row r="13">
      <c r="A13" s="5" t="s">
        <v>26</v>
      </c>
      <c r="B13" s="5">
        <v>25000.0</v>
      </c>
      <c r="C13" s="12">
        <v>65.0</v>
      </c>
      <c r="D13" s="13" t="str">
        <f t="shared" si="2"/>
        <v>No Bonus</v>
      </c>
      <c r="E13" s="9" t="s">
        <v>27</v>
      </c>
      <c r="F13" s="9" t="s">
        <v>28</v>
      </c>
      <c r="L13" s="10"/>
    </row>
    <row r="16">
      <c r="A16" s="1" t="s">
        <v>0</v>
      </c>
      <c r="B16" s="6" t="s">
        <v>1</v>
      </c>
      <c r="C16" s="6" t="s">
        <v>29</v>
      </c>
      <c r="D16" s="7"/>
      <c r="E16" s="3" t="s">
        <v>30</v>
      </c>
      <c r="F16" s="3" t="s">
        <v>31</v>
      </c>
      <c r="I16" s="4"/>
      <c r="J16" s="4"/>
      <c r="K16" s="4"/>
      <c r="L16" s="4"/>
    </row>
    <row r="17">
      <c r="A17" s="5" t="s">
        <v>32</v>
      </c>
      <c r="B17" s="5">
        <v>85.0</v>
      </c>
      <c r="C17" s="6" t="str">
        <f t="shared" ref="C17:C21" si="3">IF(B17&gt;=90,"A",IF(B17&gt;=75,"B",IF(B17&gt;=50,"C","Fail")))</f>
        <v>B</v>
      </c>
      <c r="D17" s="7"/>
      <c r="E17" s="8"/>
      <c r="F17" s="3" t="s">
        <v>33</v>
      </c>
    </row>
    <row r="18">
      <c r="A18" s="5" t="s">
        <v>34</v>
      </c>
      <c r="B18" s="5">
        <v>96.0</v>
      </c>
      <c r="C18" s="6" t="str">
        <f t="shared" si="3"/>
        <v>A</v>
      </c>
      <c r="D18" s="7"/>
      <c r="E18" s="8"/>
      <c r="F18" s="8"/>
      <c r="G18" s="8"/>
      <c r="H18" s="8"/>
      <c r="I18" s="8"/>
      <c r="J18" s="8"/>
      <c r="K18" s="8"/>
      <c r="L18" s="8"/>
    </row>
    <row r="19">
      <c r="A19" s="5" t="s">
        <v>35</v>
      </c>
      <c r="B19" s="5">
        <v>57.0</v>
      </c>
      <c r="C19" s="6" t="str">
        <f t="shared" si="3"/>
        <v>C</v>
      </c>
      <c r="D19" s="7"/>
      <c r="E19" s="9" t="s">
        <v>36</v>
      </c>
      <c r="F19" s="9" t="s">
        <v>37</v>
      </c>
    </row>
    <row r="20">
      <c r="A20" s="5" t="s">
        <v>38</v>
      </c>
      <c r="B20" s="5">
        <v>92.0</v>
      </c>
      <c r="C20" s="6" t="str">
        <f t="shared" si="3"/>
        <v>A</v>
      </c>
      <c r="D20" s="7"/>
      <c r="E20" s="8"/>
      <c r="F20" s="8"/>
      <c r="G20" s="8"/>
      <c r="H20" s="8"/>
      <c r="I20" s="8"/>
      <c r="J20" s="8"/>
      <c r="K20" s="8"/>
      <c r="L20" s="8"/>
    </row>
    <row r="21">
      <c r="A21" s="5" t="s">
        <v>39</v>
      </c>
      <c r="B21" s="5">
        <v>75.0</v>
      </c>
      <c r="C21" s="6" t="str">
        <f t="shared" si="3"/>
        <v>B</v>
      </c>
      <c r="D21" s="7"/>
      <c r="E21" s="8"/>
      <c r="F21" s="8"/>
      <c r="G21" s="8"/>
      <c r="H21" s="8"/>
      <c r="I21" s="8"/>
      <c r="J21" s="8"/>
      <c r="K21" s="8"/>
      <c r="L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>
      <c r="A24" s="6" t="s">
        <v>40</v>
      </c>
      <c r="B24" s="6" t="s">
        <v>41</v>
      </c>
      <c r="C24" s="1" t="s">
        <v>42</v>
      </c>
      <c r="D24" s="2"/>
      <c r="E24" s="3" t="s">
        <v>43</v>
      </c>
      <c r="F24" s="3" t="s">
        <v>44</v>
      </c>
      <c r="K24" s="4"/>
      <c r="L24" s="4"/>
    </row>
    <row r="25">
      <c r="A25" s="5" t="s">
        <v>45</v>
      </c>
      <c r="B25" s="5" t="s">
        <v>8</v>
      </c>
      <c r="C25" s="5" t="s">
        <v>46</v>
      </c>
      <c r="D25" s="14"/>
      <c r="E25" s="8"/>
      <c r="F25" s="3" t="s">
        <v>47</v>
      </c>
      <c r="K25" s="4"/>
      <c r="L25" s="4"/>
    </row>
    <row r="26">
      <c r="A26" s="5" t="s">
        <v>48</v>
      </c>
      <c r="B26" s="5" t="s">
        <v>5</v>
      </c>
      <c r="C26" s="5" t="s">
        <v>49</v>
      </c>
      <c r="D26" s="14"/>
      <c r="E26" s="9" t="s">
        <v>50</v>
      </c>
      <c r="F26" s="15" t="str">
        <f>VLOOKUP(A27,A25:C28,3,FALSE)</f>
        <v>Finance</v>
      </c>
      <c r="G26" s="10"/>
      <c r="H26" s="10"/>
      <c r="I26" s="10"/>
      <c r="J26" s="10"/>
      <c r="K26" s="10"/>
      <c r="L26" s="10"/>
    </row>
    <row r="27">
      <c r="A27" s="5" t="s">
        <v>51</v>
      </c>
      <c r="B27" s="5" t="s">
        <v>52</v>
      </c>
      <c r="C27" s="5" t="s">
        <v>53</v>
      </c>
      <c r="D27" s="14"/>
      <c r="E27" s="8"/>
      <c r="F27" s="9" t="s">
        <v>54</v>
      </c>
      <c r="J27" s="10"/>
      <c r="K27" s="10"/>
      <c r="L27" s="10"/>
    </row>
    <row r="28">
      <c r="A28" s="5" t="s">
        <v>55</v>
      </c>
      <c r="B28" s="5" t="s">
        <v>56</v>
      </c>
      <c r="C28" s="5" t="s">
        <v>16</v>
      </c>
      <c r="D28" s="14"/>
      <c r="E28" s="8"/>
      <c r="F28" s="8"/>
      <c r="G28" s="8"/>
      <c r="H28" s="8"/>
      <c r="I28" s="8"/>
      <c r="J28" s="8"/>
      <c r="K28" s="8"/>
      <c r="L28" s="8"/>
    </row>
    <row r="31">
      <c r="A31" s="1" t="s">
        <v>57</v>
      </c>
      <c r="B31" s="1" t="s">
        <v>58</v>
      </c>
      <c r="C31" s="8"/>
      <c r="D31" s="8"/>
      <c r="E31" s="3" t="s">
        <v>59</v>
      </c>
      <c r="F31" s="3" t="s">
        <v>60</v>
      </c>
      <c r="M31" s="4"/>
      <c r="N31" s="8"/>
    </row>
    <row r="32">
      <c r="A32" s="5">
        <v>0.0</v>
      </c>
      <c r="B32" s="16">
        <v>0.05</v>
      </c>
      <c r="C32" s="8"/>
      <c r="D32" s="8"/>
      <c r="E32" s="8"/>
      <c r="F32" s="3" t="s">
        <v>61</v>
      </c>
      <c r="M32" s="4"/>
      <c r="N32" s="8"/>
    </row>
    <row r="33">
      <c r="A33" s="5">
        <v>20000.0</v>
      </c>
      <c r="B33" s="16">
        <v>0.1</v>
      </c>
      <c r="C33" s="8"/>
      <c r="D33" s="8"/>
      <c r="E33" s="8"/>
      <c r="F33" s="3" t="s">
        <v>62</v>
      </c>
      <c r="K33" s="4"/>
      <c r="L33" s="4"/>
      <c r="M33" s="4"/>
      <c r="N33" s="8"/>
    </row>
    <row r="34">
      <c r="A34" s="5">
        <v>50000.0</v>
      </c>
      <c r="B34" s="16">
        <v>0.15</v>
      </c>
      <c r="C34" s="8"/>
      <c r="D34" s="8"/>
      <c r="E34" s="9" t="s">
        <v>63</v>
      </c>
      <c r="F34" s="17">
        <f>VLOOKUP(A34,A32:B35,2,FALSE)</f>
        <v>0.15</v>
      </c>
      <c r="G34" s="10"/>
      <c r="H34" s="10"/>
      <c r="I34" s="10"/>
      <c r="J34" s="10"/>
      <c r="K34" s="10"/>
      <c r="L34" s="10"/>
      <c r="M34" s="8"/>
      <c r="N34" s="8"/>
    </row>
    <row r="35">
      <c r="A35" s="5">
        <v>80000.0</v>
      </c>
      <c r="B35" s="16">
        <v>0.2</v>
      </c>
      <c r="C35" s="8"/>
      <c r="D35" s="8"/>
      <c r="E35" s="8"/>
      <c r="F35" s="9" t="s">
        <v>64</v>
      </c>
      <c r="J35" s="10"/>
      <c r="K35" s="10"/>
      <c r="L35" s="10"/>
      <c r="M35" s="8"/>
      <c r="N35" s="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8"/>
      <c r="N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>
      <c r="A39" s="1" t="s">
        <v>65</v>
      </c>
      <c r="B39" s="1" t="s">
        <v>66</v>
      </c>
      <c r="C39" s="1" t="s">
        <v>67</v>
      </c>
      <c r="D39" s="1" t="s">
        <v>68</v>
      </c>
      <c r="E39" s="3" t="s">
        <v>69</v>
      </c>
      <c r="F39" s="3" t="s">
        <v>70</v>
      </c>
    </row>
    <row r="40">
      <c r="A40" s="5" t="s">
        <v>71</v>
      </c>
      <c r="B40" s="5">
        <v>10.0</v>
      </c>
      <c r="C40" s="5">
        <v>12.0</v>
      </c>
      <c r="D40" s="6" t="str">
        <f t="shared" ref="D40:D42" si="4">IF(B40&gt;C40,"Exceeded","OK")</f>
        <v>OK</v>
      </c>
      <c r="E40" s="8"/>
      <c r="F40" s="3" t="s">
        <v>72</v>
      </c>
    </row>
    <row r="41">
      <c r="A41" s="5" t="s">
        <v>73</v>
      </c>
      <c r="B41" s="5">
        <v>10.0</v>
      </c>
      <c r="C41" s="5">
        <v>15.0</v>
      </c>
      <c r="D41" s="6" t="str">
        <f t="shared" si="4"/>
        <v>OK</v>
      </c>
      <c r="E41" s="8"/>
      <c r="F41" s="3" t="s">
        <v>74</v>
      </c>
      <c r="L41" s="4"/>
      <c r="M41" s="4"/>
    </row>
    <row r="42">
      <c r="A42" s="5" t="s">
        <v>75</v>
      </c>
      <c r="B42" s="5">
        <v>8.0</v>
      </c>
      <c r="C42" s="5">
        <v>12.0</v>
      </c>
      <c r="D42" s="6" t="str">
        <f t="shared" si="4"/>
        <v>OK</v>
      </c>
      <c r="E42" s="8"/>
      <c r="F42" s="3" t="s">
        <v>76</v>
      </c>
      <c r="I42" s="4"/>
      <c r="J42" s="4"/>
      <c r="K42" s="4"/>
      <c r="L42" s="4"/>
      <c r="M42" s="4"/>
    </row>
    <row r="43">
      <c r="A43" s="8"/>
      <c r="B43" s="8"/>
      <c r="C43" s="8"/>
      <c r="D43" s="8"/>
      <c r="E43" s="9" t="s">
        <v>77</v>
      </c>
      <c r="F43" s="9" t="s">
        <v>78</v>
      </c>
      <c r="L43" s="10"/>
      <c r="M43" s="10"/>
    </row>
    <row r="46">
      <c r="A46" s="6" t="s">
        <v>40</v>
      </c>
      <c r="B46" s="6" t="s">
        <v>79</v>
      </c>
      <c r="C46" s="7"/>
      <c r="D46" s="8"/>
      <c r="E46" s="3" t="s">
        <v>80</v>
      </c>
      <c r="F46" s="3" t="s">
        <v>81</v>
      </c>
      <c r="L46" s="4"/>
      <c r="M46" s="8"/>
    </row>
    <row r="47">
      <c r="A47" s="5" t="s">
        <v>55</v>
      </c>
      <c r="B47" s="5">
        <v>55000.0</v>
      </c>
      <c r="C47" s="14"/>
      <c r="D47" s="8"/>
      <c r="E47" s="9" t="s">
        <v>82</v>
      </c>
      <c r="F47" s="19">
        <f t="array" ref="F47">INDEX(B47:B50,MATCH(A48,A47:A50,0))</f>
        <v>72000</v>
      </c>
      <c r="G47" s="10"/>
      <c r="H47" s="10"/>
      <c r="I47" s="10"/>
      <c r="J47" s="10"/>
      <c r="K47" s="10"/>
      <c r="L47" s="10"/>
      <c r="M47" s="8"/>
    </row>
    <row r="48">
      <c r="A48" s="5" t="s">
        <v>83</v>
      </c>
      <c r="B48" s="5">
        <v>72000.0</v>
      </c>
      <c r="C48" s="14"/>
      <c r="D48" s="8"/>
      <c r="E48" s="8"/>
      <c r="F48" s="9" t="s">
        <v>84</v>
      </c>
      <c r="K48" s="10"/>
      <c r="L48" s="10"/>
      <c r="M48" s="8"/>
    </row>
    <row r="49">
      <c r="A49" s="5" t="s">
        <v>85</v>
      </c>
      <c r="B49" s="5">
        <v>62000.0</v>
      </c>
      <c r="C49" s="14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>
      <c r="A50" s="5" t="s">
        <v>48</v>
      </c>
      <c r="B50" s="5">
        <v>41000.0</v>
      </c>
      <c r="C50" s="14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</row>
    <row r="53">
      <c r="A53" s="6" t="s">
        <v>40</v>
      </c>
      <c r="B53" s="6" t="s">
        <v>42</v>
      </c>
      <c r="C53" s="7"/>
      <c r="D53" s="8"/>
      <c r="E53" s="3" t="s">
        <v>86</v>
      </c>
      <c r="F53" s="3" t="s">
        <v>87</v>
      </c>
      <c r="M53" s="8"/>
    </row>
    <row r="54">
      <c r="A54" s="5" t="s">
        <v>45</v>
      </c>
      <c r="B54" s="5" t="s">
        <v>49</v>
      </c>
      <c r="C54" s="14"/>
      <c r="D54" s="8"/>
      <c r="E54" s="8"/>
      <c r="F54" s="3" t="s">
        <v>88</v>
      </c>
      <c r="H54" s="8"/>
      <c r="I54" s="8"/>
      <c r="J54" s="8"/>
      <c r="K54" s="8"/>
      <c r="L54" s="8"/>
      <c r="M54" s="8"/>
    </row>
    <row r="55">
      <c r="A55" s="5" t="s">
        <v>89</v>
      </c>
      <c r="B55" s="5" t="s">
        <v>46</v>
      </c>
      <c r="C55" s="14"/>
      <c r="D55" s="8"/>
      <c r="E55" s="9" t="s">
        <v>90</v>
      </c>
      <c r="F55" s="6" t="s">
        <v>40</v>
      </c>
      <c r="G55" s="6" t="s">
        <v>42</v>
      </c>
      <c r="H55" s="10"/>
      <c r="I55" s="10"/>
      <c r="J55" s="10"/>
      <c r="K55" s="10"/>
      <c r="L55" s="8"/>
      <c r="M55" s="8"/>
    </row>
    <row r="56">
      <c r="A56" s="5" t="s">
        <v>85</v>
      </c>
      <c r="B56" s="5" t="s">
        <v>16</v>
      </c>
      <c r="C56" s="14"/>
      <c r="D56" s="8"/>
      <c r="E56" s="8"/>
      <c r="F56" s="6" t="s">
        <v>89</v>
      </c>
      <c r="G56" s="6" t="str">
        <f t="array" ref="G56">XLOOKUP(F56,A54:A57,B54:B57,"not available",0,1)</f>
        <v>IT</v>
      </c>
      <c r="H56" s="10"/>
      <c r="I56" s="10"/>
      <c r="J56" s="10"/>
      <c r="K56" s="10"/>
      <c r="L56" s="8"/>
      <c r="M56" s="8"/>
    </row>
    <row r="57">
      <c r="A57" s="5" t="s">
        <v>91</v>
      </c>
      <c r="B57" s="5" t="s">
        <v>53</v>
      </c>
      <c r="C57" s="14"/>
      <c r="D57" s="8"/>
      <c r="E57" s="8"/>
      <c r="F57" s="9" t="s">
        <v>92</v>
      </c>
      <c r="L57" s="8"/>
      <c r="M57" s="8"/>
    </row>
    <row r="58">
      <c r="A58" s="8"/>
      <c r="B58" s="8"/>
      <c r="C58" s="8"/>
      <c r="D58" s="8"/>
      <c r="E58" s="8"/>
      <c r="F58" s="9" t="s">
        <v>93</v>
      </c>
      <c r="H58" s="10"/>
      <c r="I58" s="10"/>
      <c r="J58" s="10"/>
      <c r="K58" s="10"/>
      <c r="L58" s="8"/>
      <c r="M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</sheetData>
  <mergeCells count="30">
    <mergeCell ref="F1:K1"/>
    <mergeCell ref="F2:K2"/>
    <mergeCell ref="F4:I4"/>
    <mergeCell ref="F5:J5"/>
    <mergeCell ref="F6:G6"/>
    <mergeCell ref="F9:L9"/>
    <mergeCell ref="F10:L10"/>
    <mergeCell ref="F11:I11"/>
    <mergeCell ref="F13:K13"/>
    <mergeCell ref="F16:H16"/>
    <mergeCell ref="F17:L17"/>
    <mergeCell ref="F19:L19"/>
    <mergeCell ref="F24:J24"/>
    <mergeCell ref="F25:J25"/>
    <mergeCell ref="F27:I27"/>
    <mergeCell ref="F31:L31"/>
    <mergeCell ref="F32:L32"/>
    <mergeCell ref="F33:J33"/>
    <mergeCell ref="F35:I35"/>
    <mergeCell ref="F39:M39"/>
    <mergeCell ref="F40:M40"/>
    <mergeCell ref="F57:K57"/>
    <mergeCell ref="F58:G58"/>
    <mergeCell ref="F41:K41"/>
    <mergeCell ref="F42:H42"/>
    <mergeCell ref="F43:K43"/>
    <mergeCell ref="F46:K46"/>
    <mergeCell ref="F48:J48"/>
    <mergeCell ref="F53:L53"/>
    <mergeCell ref="F54:G54"/>
  </mergeCells>
  <drawing r:id="rId1"/>
</worksheet>
</file>